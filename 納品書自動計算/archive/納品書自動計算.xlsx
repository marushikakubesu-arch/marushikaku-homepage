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兵頭海地\Desktop\claude\納品書自動計算\"/>
    </mc:Choice>
  </mc:AlternateContent>
  <xr:revisionPtr revIDLastSave="0" documentId="8_{B1FB69FD-E70A-4177-965E-78430FA1F252}" xr6:coauthVersionLast="47" xr6:coauthVersionMax="47" xr10:uidLastSave="{00000000-0000-0000-0000-000000000000}"/>
  <bookViews>
    <workbookView xWindow="4935" yWindow="1733" windowWidth="15390" windowHeight="9532" xr2:uid="{974CC539-8B25-4641-90E6-5705D899257B}"/>
  </bookViews>
  <sheets>
    <sheet name="計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D38" i="1"/>
  <c r="G38" i="1" s="1"/>
  <c r="F37" i="1"/>
  <c r="D37" i="1"/>
  <c r="G37" i="1" s="1"/>
  <c r="F36" i="1"/>
  <c r="D36" i="1"/>
  <c r="G36" i="1" s="1"/>
  <c r="F35" i="1"/>
  <c r="D35" i="1"/>
  <c r="G35" i="1" s="1"/>
  <c r="F34" i="1"/>
  <c r="D34" i="1"/>
  <c r="G34" i="1" s="1"/>
  <c r="F33" i="1"/>
  <c r="D33" i="1"/>
  <c r="G33" i="1" s="1"/>
  <c r="F32" i="1"/>
  <c r="D32" i="1"/>
  <c r="G32" i="1" s="1"/>
  <c r="F31" i="1"/>
  <c r="D31" i="1"/>
  <c r="G31" i="1" s="1"/>
  <c r="F30" i="1"/>
  <c r="D30" i="1"/>
  <c r="G30" i="1" s="1"/>
  <c r="F29" i="1"/>
  <c r="D29" i="1"/>
  <c r="G29" i="1" s="1"/>
  <c r="F28" i="1"/>
  <c r="D28" i="1"/>
  <c r="G28" i="1" s="1"/>
  <c r="F27" i="1"/>
  <c r="D27" i="1"/>
  <c r="G27" i="1" s="1"/>
  <c r="F26" i="1"/>
  <c r="D26" i="1"/>
  <c r="G26" i="1" s="1"/>
  <c r="F25" i="1"/>
  <c r="D25" i="1"/>
  <c r="G25" i="1" s="1"/>
  <c r="F24" i="1"/>
  <c r="D24" i="1"/>
  <c r="G24" i="1" s="1"/>
  <c r="F23" i="1"/>
  <c r="D23" i="1"/>
  <c r="G23" i="1" s="1"/>
  <c r="F22" i="1"/>
  <c r="D22" i="1"/>
  <c r="G22" i="1" s="1"/>
  <c r="F21" i="1"/>
  <c r="D21" i="1"/>
  <c r="G21" i="1" s="1"/>
  <c r="F20" i="1"/>
  <c r="D20" i="1"/>
  <c r="G20" i="1" s="1"/>
  <c r="F19" i="1"/>
  <c r="D19" i="1"/>
  <c r="G19" i="1" s="1"/>
  <c r="F18" i="1"/>
  <c r="D18" i="1"/>
  <c r="G18" i="1" s="1"/>
  <c r="F17" i="1"/>
  <c r="D17" i="1"/>
  <c r="G17" i="1" s="1"/>
  <c r="F16" i="1"/>
  <c r="D16" i="1"/>
  <c r="G16" i="1" s="1"/>
  <c r="F15" i="1"/>
  <c r="D15" i="1"/>
  <c r="G15" i="1" s="1"/>
  <c r="F14" i="1"/>
  <c r="D14" i="1"/>
  <c r="G14" i="1" s="1"/>
  <c r="F13" i="1"/>
  <c r="D13" i="1"/>
  <c r="G13" i="1" s="1"/>
  <c r="F12" i="1"/>
  <c r="D12" i="1"/>
  <c r="G12" i="1" s="1"/>
  <c r="F11" i="1"/>
  <c r="D11" i="1"/>
  <c r="G11" i="1" s="1"/>
  <c r="F10" i="1"/>
  <c r="D10" i="1"/>
  <c r="G10" i="1" s="1"/>
  <c r="F9" i="1"/>
  <c r="D9" i="1"/>
  <c r="G9" i="1" s="1"/>
  <c r="E10" i="1" l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9" i="1"/>
</calcChain>
</file>

<file path=xl/sharedStrings.xml><?xml version="1.0" encoding="utf-8"?>
<sst xmlns="http://schemas.openxmlformats.org/spreadsheetml/2006/main" count="13" uniqueCount="13">
  <si>
    <t>納品書自動計算</t>
  </si>
  <si>
    <t>消費税率</t>
  </si>
  <si>
    <t>店頭販売価格 掛け率</t>
  </si>
  <si>
    <t>端数処理単位(円)</t>
  </si>
  <si>
    <t>※納品書を見ながら「商品名」「仕入れ単価(税抜)」「個数」を入力すると、右側が自動計算されます。上のセル(消費税率・掛け率・端数処理単位)は必要に応じて変更してください。</t>
  </si>
  <si>
    <t>商品名</t>
  </si>
  <si>
    <t>仕入れ単価(税抜)</t>
  </si>
  <si>
    <t>個数</t>
  </si>
  <si>
    <t>仕入れ単価(税込)</t>
  </si>
  <si>
    <t>店頭販売価格</t>
  </si>
  <si>
    <t>仕入れ金額(税抜)</t>
  </si>
  <si>
    <t>仕入れ金額(税込)</t>
  </si>
  <si>
    <t>(例)モンステラ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</si>
</sst>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3" fontId="1" fillId="0" borderId="1" xfId="0" applyNumberFormat="1" applyFont="1" applyBorder="1">
      <alignment vertical="center"/>
    </xf>
    <xf numFmtId="3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5120-86B6-4734-A485-1B488752FE57}">
  <dimension ref="A1:G38"/>
  <sheetViews>
    <sheetView tabSelected="1" workbookViewId="0"/>
  </sheetViews>
  <sheetFormatPr defaultRowHeight="17.649999999999999" x14ac:dyDescent="0.7"/>
  <cols>
    <col min="1" max="1" width="24.5625" customWidth="1"/>
    <col min="2" max="2" width="16.5625" customWidth="1"/>
    <col min="3" max="3" width="8.5625" customWidth="1"/>
    <col min="4" max="4" width="16.5625" customWidth="1"/>
    <col min="5" max="5" width="14.5625" customWidth="1"/>
    <col min="6" max="7" width="16.5625" customWidth="1"/>
  </cols>
  <sheetData>
    <row r="1" spans="1:7" ht="22.9" x14ac:dyDescent="0.7">
      <c r="A1" s="1" t="s">
        <v>0</v>
      </c>
    </row>
    <row r="3" spans="1:7" x14ac:dyDescent="0.7">
      <c r="A3" t="s">
        <v>1</v>
      </c>
      <c r="B3" s="2">
        <v>0.1</v>
      </c>
    </row>
    <row r="4" spans="1:7" x14ac:dyDescent="0.7">
      <c r="A4" t="s">
        <v>2</v>
      </c>
      <c r="B4" s="3">
        <v>2.5</v>
      </c>
    </row>
    <row r="5" spans="1:7" x14ac:dyDescent="0.7">
      <c r="A5" t="s">
        <v>3</v>
      </c>
      <c r="B5" s="3">
        <v>10</v>
      </c>
    </row>
    <row r="6" spans="1:7" ht="30" customHeight="1" x14ac:dyDescent="0.7">
      <c r="A6" s="4" t="s">
        <v>4</v>
      </c>
      <c r="B6" s="4"/>
      <c r="C6" s="4"/>
      <c r="D6" s="4"/>
      <c r="E6" s="4"/>
      <c r="F6" s="4"/>
      <c r="G6" s="4"/>
    </row>
    <row r="8" spans="1:7" x14ac:dyDescent="0.7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 spans="1:7" x14ac:dyDescent="0.7">
      <c r="A9" s="6" t="s">
        <v>12</v>
      </c>
      <c r="B9" s="7">
        <v>2000</v>
      </c>
      <c r="C9" s="6">
        <v>1</v>
      </c>
      <c r="D9" s="8">
        <f>IF(B9="","",B9*(1+$B$3))</f>
        <v>2200</v>
      </c>
      <c r="E9" s="8">
        <f>IF(D9="","",ROUNDDOWN(D9*$B$4/$B$5,0)*$B$5)</f>
        <v>5500</v>
      </c>
      <c r="F9" s="8">
        <f>IF(OR(B9="",C9=""),"",B9*C9)</f>
        <v>2000</v>
      </c>
      <c r="G9" s="8">
        <f>IF(OR(D9="",C9=""),"",D9*C9)</f>
        <v>2200</v>
      </c>
    </row>
    <row r="10" spans="1:7" x14ac:dyDescent="0.7">
      <c r="A10" s="6"/>
      <c r="B10" s="7"/>
      <c r="C10" s="6"/>
      <c r="D10" s="8" t="str">
        <f>IF(B10="","",B10*(1+$B$3))</f>
        <v/>
      </c>
      <c r="E10" s="8" t="str">
        <f>IF(D10="","",ROUNDDOWN(D10*$B$4/$B$5,0)*$B$5)</f>
        <v/>
      </c>
      <c r="F10" s="8" t="str">
        <f>IF(OR(B10="",C10=""),"",B10*C10)</f>
        <v/>
      </c>
      <c r="G10" s="8" t="str">
        <f>IF(OR(D10="",C10=""),"",D10*C10)</f>
        <v/>
      </c>
    </row>
    <row r="11" spans="1:7" x14ac:dyDescent="0.7">
      <c r="A11" s="6"/>
      <c r="B11" s="7"/>
      <c r="C11" s="6"/>
      <c r="D11" s="8" t="str">
        <f>IF(B11="","",B11*(1+$B$3))</f>
        <v/>
      </c>
      <c r="E11" s="8" t="str">
        <f>IF(D11="","",ROUNDDOWN(D11*$B$4/$B$5,0)*$B$5)</f>
        <v/>
      </c>
      <c r="F11" s="8" t="str">
        <f>IF(OR(B11="",C11=""),"",B11*C11)</f>
        <v/>
      </c>
      <c r="G11" s="8" t="str">
        <f>IF(OR(D11="",C11=""),"",D11*C11)</f>
        <v/>
      </c>
    </row>
    <row r="12" spans="1:7" x14ac:dyDescent="0.7">
      <c r="A12" s="6"/>
      <c r="B12" s="7"/>
      <c r="C12" s="6"/>
      <c r="D12" s="8" t="str">
        <f>IF(B12="","",B12*(1+$B$3))</f>
        <v/>
      </c>
      <c r="E12" s="8" t="str">
        <f>IF(D12="","",ROUNDDOWN(D12*$B$4/$B$5,0)*$B$5)</f>
        <v/>
      </c>
      <c r="F12" s="8" t="str">
        <f>IF(OR(B12="",C12=""),"",B12*C12)</f>
        <v/>
      </c>
      <c r="G12" s="8" t="str">
        <f>IF(OR(D12="",C12=""),"",D12*C12)</f>
        <v/>
      </c>
    </row>
    <row r="13" spans="1:7" x14ac:dyDescent="0.7">
      <c r="A13" s="6"/>
      <c r="B13" s="7"/>
      <c r="C13" s="6"/>
      <c r="D13" s="8" t="str">
        <f>IF(B13="","",B13*(1+$B$3))</f>
        <v/>
      </c>
      <c r="E13" s="8" t="str">
        <f>IF(D13="","",ROUNDDOWN(D13*$B$4/$B$5,0)*$B$5)</f>
        <v/>
      </c>
      <c r="F13" s="8" t="str">
        <f>IF(OR(B13="",C13=""),"",B13*C13)</f>
        <v/>
      </c>
      <c r="G13" s="8" t="str">
        <f>IF(OR(D13="",C13=""),"",D13*C13)</f>
        <v/>
      </c>
    </row>
    <row r="14" spans="1:7" x14ac:dyDescent="0.7">
      <c r="A14" s="6"/>
      <c r="B14" s="7"/>
      <c r="C14" s="6"/>
      <c r="D14" s="8" t="str">
        <f>IF(B14="","",B14*(1+$B$3))</f>
        <v/>
      </c>
      <c r="E14" s="8" t="str">
        <f>IF(D14="","",ROUNDDOWN(D14*$B$4/$B$5,0)*$B$5)</f>
        <v/>
      </c>
      <c r="F14" s="8" t="str">
        <f>IF(OR(B14="",C14=""),"",B14*C14)</f>
        <v/>
      </c>
      <c r="G14" s="8" t="str">
        <f>IF(OR(D14="",C14=""),"",D14*C14)</f>
        <v/>
      </c>
    </row>
    <row r="15" spans="1:7" x14ac:dyDescent="0.7">
      <c r="A15" s="6"/>
      <c r="B15" s="7"/>
      <c r="C15" s="6"/>
      <c r="D15" s="8" t="str">
        <f>IF(B15="","",B15*(1+$B$3))</f>
        <v/>
      </c>
      <c r="E15" s="8" t="str">
        <f>IF(D15="","",ROUNDDOWN(D15*$B$4/$B$5,0)*$B$5)</f>
        <v/>
      </c>
      <c r="F15" s="8" t="str">
        <f>IF(OR(B15="",C15=""),"",B15*C15)</f>
        <v/>
      </c>
      <c r="G15" s="8" t="str">
        <f>IF(OR(D15="",C15=""),"",D15*C15)</f>
        <v/>
      </c>
    </row>
    <row r="16" spans="1:7" x14ac:dyDescent="0.7">
      <c r="A16" s="6"/>
      <c r="B16" s="7"/>
      <c r="C16" s="6"/>
      <c r="D16" s="8" t="str">
        <f>IF(B16="","",B16*(1+$B$3))</f>
        <v/>
      </c>
      <c r="E16" s="8" t="str">
        <f>IF(D16="","",ROUNDDOWN(D16*$B$4/$B$5,0)*$B$5)</f>
        <v/>
      </c>
      <c r="F16" s="8" t="str">
        <f>IF(OR(B16="",C16=""),"",B16*C16)</f>
        <v/>
      </c>
      <c r="G16" s="8" t="str">
        <f>IF(OR(D16="",C16=""),"",D16*C16)</f>
        <v/>
      </c>
    </row>
    <row r="17" spans="1:7" x14ac:dyDescent="0.7">
      <c r="A17" s="6"/>
      <c r="B17" s="7"/>
      <c r="C17" s="6"/>
      <c r="D17" s="8" t="str">
        <f>IF(B17="","",B17*(1+$B$3))</f>
        <v/>
      </c>
      <c r="E17" s="8" t="str">
        <f>IF(D17="","",ROUNDDOWN(D17*$B$4/$B$5,0)*$B$5)</f>
        <v/>
      </c>
      <c r="F17" s="8" t="str">
        <f>IF(OR(B17="",C17=""),"",B17*C17)</f>
        <v/>
      </c>
      <c r="G17" s="8" t="str">
        <f>IF(OR(D17="",C17=""),"",D17*C17)</f>
        <v/>
      </c>
    </row>
    <row r="18" spans="1:7" x14ac:dyDescent="0.7">
      <c r="A18" s="6"/>
      <c r="B18" s="7"/>
      <c r="C18" s="6"/>
      <c r="D18" s="8" t="str">
        <f>IF(B18="","",B18*(1+$B$3))</f>
        <v/>
      </c>
      <c r="E18" s="8" t="str">
        <f>IF(D18="","",ROUNDDOWN(D18*$B$4/$B$5,0)*$B$5)</f>
        <v/>
      </c>
      <c r="F18" s="8" t="str">
        <f>IF(OR(B18="",C18=""),"",B18*C18)</f>
        <v/>
      </c>
      <c r="G18" s="8" t="str">
        <f>IF(OR(D18="",C18=""),"",D18*C18)</f>
        <v/>
      </c>
    </row>
    <row r="19" spans="1:7" x14ac:dyDescent="0.7">
      <c r="A19" s="6"/>
      <c r="B19" s="7"/>
      <c r="C19" s="6"/>
      <c r="D19" s="8" t="str">
        <f>IF(B19="","",B19*(1+$B$3))</f>
        <v/>
      </c>
      <c r="E19" s="8" t="str">
        <f>IF(D19="","",ROUNDDOWN(D19*$B$4/$B$5,0)*$B$5)</f>
        <v/>
      </c>
      <c r="F19" s="8" t="str">
        <f>IF(OR(B19="",C19=""),"",B19*C19)</f>
        <v/>
      </c>
      <c r="G19" s="8" t="str">
        <f>IF(OR(D19="",C19=""),"",D19*C19)</f>
        <v/>
      </c>
    </row>
    <row r="20" spans="1:7" x14ac:dyDescent="0.7">
      <c r="A20" s="6"/>
      <c r="B20" s="7"/>
      <c r="C20" s="6"/>
      <c r="D20" s="8" t="str">
        <f>IF(B20="","",B20*(1+$B$3))</f>
        <v/>
      </c>
      <c r="E20" s="8" t="str">
        <f>IF(D20="","",ROUNDDOWN(D20*$B$4/$B$5,0)*$B$5)</f>
        <v/>
      </c>
      <c r="F20" s="8" t="str">
        <f>IF(OR(B20="",C20=""),"",B20*C20)</f>
        <v/>
      </c>
      <c r="G20" s="8" t="str">
        <f>IF(OR(D20="",C20=""),"",D20*C20)</f>
        <v/>
      </c>
    </row>
    <row r="21" spans="1:7" x14ac:dyDescent="0.7">
      <c r="A21" s="6"/>
      <c r="B21" s="7"/>
      <c r="C21" s="6"/>
      <c r="D21" s="8" t="str">
        <f>IF(B21="","",B21*(1+$B$3))</f>
        <v/>
      </c>
      <c r="E21" s="8" t="str">
        <f>IF(D21="","",ROUNDDOWN(D21*$B$4/$B$5,0)*$B$5)</f>
        <v/>
      </c>
      <c r="F21" s="8" t="str">
        <f>IF(OR(B21="",C21=""),"",B21*C21)</f>
        <v/>
      </c>
      <c r="G21" s="8" t="str">
        <f>IF(OR(D21="",C21=""),"",D21*C21)</f>
        <v/>
      </c>
    </row>
    <row r="22" spans="1:7" x14ac:dyDescent="0.7">
      <c r="A22" s="6"/>
      <c r="B22" s="7"/>
      <c r="C22" s="6"/>
      <c r="D22" s="8" t="str">
        <f>IF(B22="","",B22*(1+$B$3))</f>
        <v/>
      </c>
      <c r="E22" s="8" t="str">
        <f>IF(D22="","",ROUNDDOWN(D22*$B$4/$B$5,0)*$B$5)</f>
        <v/>
      </c>
      <c r="F22" s="8" t="str">
        <f>IF(OR(B22="",C22=""),"",B22*C22)</f>
        <v/>
      </c>
      <c r="G22" s="8" t="str">
        <f>IF(OR(D22="",C22=""),"",D22*C22)</f>
        <v/>
      </c>
    </row>
    <row r="23" spans="1:7" x14ac:dyDescent="0.7">
      <c r="A23" s="6"/>
      <c r="B23" s="7"/>
      <c r="C23" s="6"/>
      <c r="D23" s="8" t="str">
        <f>IF(B23="","",B23*(1+$B$3))</f>
        <v/>
      </c>
      <c r="E23" s="8" t="str">
        <f>IF(D23="","",ROUNDDOWN(D23*$B$4/$B$5,0)*$B$5)</f>
        <v/>
      </c>
      <c r="F23" s="8" t="str">
        <f>IF(OR(B23="",C23=""),"",B23*C23)</f>
        <v/>
      </c>
      <c r="G23" s="8" t="str">
        <f>IF(OR(D23="",C23=""),"",D23*C23)</f>
        <v/>
      </c>
    </row>
    <row r="24" spans="1:7" x14ac:dyDescent="0.7">
      <c r="A24" s="6"/>
      <c r="B24" s="7"/>
      <c r="C24" s="6"/>
      <c r="D24" s="8" t="str">
        <f>IF(B24="","",B24*(1+$B$3))</f>
        <v/>
      </c>
      <c r="E24" s="8" t="str">
        <f>IF(D24="","",ROUNDDOWN(D24*$B$4/$B$5,0)*$B$5)</f>
        <v/>
      </c>
      <c r="F24" s="8" t="str">
        <f>IF(OR(B24="",C24=""),"",B24*C24)</f>
        <v/>
      </c>
      <c r="G24" s="8" t="str">
        <f>IF(OR(D24="",C24=""),"",D24*C24)</f>
        <v/>
      </c>
    </row>
    <row r="25" spans="1:7" x14ac:dyDescent="0.7">
      <c r="A25" s="6"/>
      <c r="B25" s="7"/>
      <c r="C25" s="6"/>
      <c r="D25" s="8" t="str">
        <f>IF(B25="","",B25*(1+$B$3))</f>
        <v/>
      </c>
      <c r="E25" s="8" t="str">
        <f>IF(D25="","",ROUNDDOWN(D25*$B$4/$B$5,0)*$B$5)</f>
        <v/>
      </c>
      <c r="F25" s="8" t="str">
        <f>IF(OR(B25="",C25=""),"",B25*C25)</f>
        <v/>
      </c>
      <c r="G25" s="8" t="str">
        <f>IF(OR(D25="",C25=""),"",D25*C25)</f>
        <v/>
      </c>
    </row>
    <row r="26" spans="1:7" x14ac:dyDescent="0.7">
      <c r="A26" s="6"/>
      <c r="B26" s="7"/>
      <c r="C26" s="6"/>
      <c r="D26" s="8" t="str">
        <f>IF(B26="","",B26*(1+$B$3))</f>
        <v/>
      </c>
      <c r="E26" s="8" t="str">
        <f>IF(D26="","",ROUNDDOWN(D26*$B$4/$B$5,0)*$B$5)</f>
        <v/>
      </c>
      <c r="F26" s="8" t="str">
        <f>IF(OR(B26="",C26=""),"",B26*C26)</f>
        <v/>
      </c>
      <c r="G26" s="8" t="str">
        <f>IF(OR(D26="",C26=""),"",D26*C26)</f>
        <v/>
      </c>
    </row>
    <row r="27" spans="1:7" x14ac:dyDescent="0.7">
      <c r="A27" s="6"/>
      <c r="B27" s="7"/>
      <c r="C27" s="6"/>
      <c r="D27" s="8" t="str">
        <f>IF(B27="","",B27*(1+$B$3))</f>
        <v/>
      </c>
      <c r="E27" s="8" t="str">
        <f>IF(D27="","",ROUNDDOWN(D27*$B$4/$B$5,0)*$B$5)</f>
        <v/>
      </c>
      <c r="F27" s="8" t="str">
        <f>IF(OR(B27="",C27=""),"",B27*C27)</f>
        <v/>
      </c>
      <c r="G27" s="8" t="str">
        <f>IF(OR(D27="",C27=""),"",D27*C27)</f>
        <v/>
      </c>
    </row>
    <row r="28" spans="1:7" x14ac:dyDescent="0.7">
      <c r="A28" s="6"/>
      <c r="B28" s="7"/>
      <c r="C28" s="6"/>
      <c r="D28" s="8" t="str">
        <f>IF(B28="","",B28*(1+$B$3))</f>
        <v/>
      </c>
      <c r="E28" s="8" t="str">
        <f>IF(D28="","",ROUNDDOWN(D28*$B$4/$B$5,0)*$B$5)</f>
        <v/>
      </c>
      <c r="F28" s="8" t="str">
        <f>IF(OR(B28="",C28=""),"",B28*C28)</f>
        <v/>
      </c>
      <c r="G28" s="8" t="str">
        <f>IF(OR(D28="",C28=""),"",D28*C28)</f>
        <v/>
      </c>
    </row>
    <row r="29" spans="1:7" x14ac:dyDescent="0.7">
      <c r="A29" s="6"/>
      <c r="B29" s="7"/>
      <c r="C29" s="6"/>
      <c r="D29" s="8" t="str">
        <f>IF(B29="","",B29*(1+$B$3))</f>
        <v/>
      </c>
      <c r="E29" s="8" t="str">
        <f>IF(D29="","",ROUNDDOWN(D29*$B$4/$B$5,0)*$B$5)</f>
        <v/>
      </c>
      <c r="F29" s="8" t="str">
        <f>IF(OR(B29="",C29=""),"",B29*C29)</f>
        <v/>
      </c>
      <c r="G29" s="8" t="str">
        <f>IF(OR(D29="",C29=""),"",D29*C29)</f>
        <v/>
      </c>
    </row>
    <row r="30" spans="1:7" x14ac:dyDescent="0.7">
      <c r="A30" s="6"/>
      <c r="B30" s="7"/>
      <c r="C30" s="6"/>
      <c r="D30" s="8" t="str">
        <f>IF(B30="","",B30*(1+$B$3))</f>
        <v/>
      </c>
      <c r="E30" s="8" t="str">
        <f>IF(D30="","",ROUNDDOWN(D30*$B$4/$B$5,0)*$B$5)</f>
        <v/>
      </c>
      <c r="F30" s="8" t="str">
        <f>IF(OR(B30="",C30=""),"",B30*C30)</f>
        <v/>
      </c>
      <c r="G30" s="8" t="str">
        <f>IF(OR(D30="",C30=""),"",D30*C30)</f>
        <v/>
      </c>
    </row>
    <row r="31" spans="1:7" x14ac:dyDescent="0.7">
      <c r="A31" s="6"/>
      <c r="B31" s="7"/>
      <c r="C31" s="6"/>
      <c r="D31" s="8" t="str">
        <f>IF(B31="","",B31*(1+$B$3))</f>
        <v/>
      </c>
      <c r="E31" s="8" t="str">
        <f>IF(D31="","",ROUNDDOWN(D31*$B$4/$B$5,0)*$B$5)</f>
        <v/>
      </c>
      <c r="F31" s="8" t="str">
        <f>IF(OR(B31="",C31=""),"",B31*C31)</f>
        <v/>
      </c>
      <c r="G31" s="8" t="str">
        <f>IF(OR(D31="",C31=""),"",D31*C31)</f>
        <v/>
      </c>
    </row>
    <row r="32" spans="1:7" x14ac:dyDescent="0.7">
      <c r="A32" s="6"/>
      <c r="B32" s="7"/>
      <c r="C32" s="6"/>
      <c r="D32" s="8" t="str">
        <f>IF(B32="","",B32*(1+$B$3))</f>
        <v/>
      </c>
      <c r="E32" s="8" t="str">
        <f>IF(D32="","",ROUNDDOWN(D32*$B$4/$B$5,0)*$B$5)</f>
        <v/>
      </c>
      <c r="F32" s="8" t="str">
        <f>IF(OR(B32="",C32=""),"",B32*C32)</f>
        <v/>
      </c>
      <c r="G32" s="8" t="str">
        <f>IF(OR(D32="",C32=""),"",D32*C32)</f>
        <v/>
      </c>
    </row>
    <row r="33" spans="1:7" x14ac:dyDescent="0.7">
      <c r="A33" s="6"/>
      <c r="B33" s="7"/>
      <c r="C33" s="6"/>
      <c r="D33" s="8" t="str">
        <f>IF(B33="","",B33*(1+$B$3))</f>
        <v/>
      </c>
      <c r="E33" s="8" t="str">
        <f>IF(D33="","",ROUNDDOWN(D33*$B$4/$B$5,0)*$B$5)</f>
        <v/>
      </c>
      <c r="F33" s="8" t="str">
        <f>IF(OR(B33="",C33=""),"",B33*C33)</f>
        <v/>
      </c>
      <c r="G33" s="8" t="str">
        <f>IF(OR(D33="",C33=""),"",D33*C33)</f>
        <v/>
      </c>
    </row>
    <row r="34" spans="1:7" x14ac:dyDescent="0.7">
      <c r="A34" s="6"/>
      <c r="B34" s="7"/>
      <c r="C34" s="6"/>
      <c r="D34" s="8" t="str">
        <f>IF(B34="","",B34*(1+$B$3))</f>
        <v/>
      </c>
      <c r="E34" s="8" t="str">
        <f>IF(D34="","",ROUNDDOWN(D34*$B$4/$B$5,0)*$B$5)</f>
        <v/>
      </c>
      <c r="F34" s="8" t="str">
        <f>IF(OR(B34="",C34=""),"",B34*C34)</f>
        <v/>
      </c>
      <c r="G34" s="8" t="str">
        <f>IF(OR(D34="",C34=""),"",D34*C34)</f>
        <v/>
      </c>
    </row>
    <row r="35" spans="1:7" x14ac:dyDescent="0.7">
      <c r="A35" s="6"/>
      <c r="B35" s="7"/>
      <c r="C35" s="6"/>
      <c r="D35" s="8" t="str">
        <f>IF(B35="","",B35*(1+$B$3))</f>
        <v/>
      </c>
      <c r="E35" s="8" t="str">
        <f>IF(D35="","",ROUNDDOWN(D35*$B$4/$B$5,0)*$B$5)</f>
        <v/>
      </c>
      <c r="F35" s="8" t="str">
        <f>IF(OR(B35="",C35=""),"",B35*C35)</f>
        <v/>
      </c>
      <c r="G35" s="8" t="str">
        <f>IF(OR(D35="",C35=""),"",D35*C35)</f>
        <v/>
      </c>
    </row>
    <row r="36" spans="1:7" x14ac:dyDescent="0.7">
      <c r="A36" s="6"/>
      <c r="B36" s="7"/>
      <c r="C36" s="6"/>
      <c r="D36" s="8" t="str">
        <f>IF(B36="","",B36*(1+$B$3))</f>
        <v/>
      </c>
      <c r="E36" s="8" t="str">
        <f>IF(D36="","",ROUNDDOWN(D36*$B$4/$B$5,0)*$B$5)</f>
        <v/>
      </c>
      <c r="F36" s="8" t="str">
        <f>IF(OR(B36="",C36=""),"",B36*C36)</f>
        <v/>
      </c>
      <c r="G36" s="8" t="str">
        <f>IF(OR(D36="",C36=""),"",D36*C36)</f>
        <v/>
      </c>
    </row>
    <row r="37" spans="1:7" x14ac:dyDescent="0.7">
      <c r="A37" s="6"/>
      <c r="B37" s="7"/>
      <c r="C37" s="6"/>
      <c r="D37" s="8" t="str">
        <f>IF(B37="","",B37*(1+$B$3))</f>
        <v/>
      </c>
      <c r="E37" s="8" t="str">
        <f>IF(D37="","",ROUNDDOWN(D37*$B$4/$B$5,0)*$B$5)</f>
        <v/>
      </c>
      <c r="F37" s="8" t="str">
        <f>IF(OR(B37="",C37=""),"",B37*C37)</f>
        <v/>
      </c>
      <c r="G37" s="8" t="str">
        <f>IF(OR(D37="",C37=""),"",D37*C37)</f>
        <v/>
      </c>
    </row>
    <row r="38" spans="1:7" x14ac:dyDescent="0.7">
      <c r="A38" s="6"/>
      <c r="B38" s="7"/>
      <c r="C38" s="6"/>
      <c r="D38" s="8" t="str">
        <f>IF(B38="","",B38*(1+$B$3))</f>
        <v/>
      </c>
      <c r="E38" s="8" t="str">
        <f>IF(D38="","",ROUNDDOWN(D38*$B$4/$B$5,0)*$B$5)</f>
        <v/>
      </c>
      <c r="F38" s="8" t="str">
        <f>IF(OR(B38="",C38=""),"",B38*C38)</f>
        <v/>
      </c>
      <c r="G38" s="8" t="str">
        <f>IF(OR(D38="",C38=""),"",D38*C38)</f>
        <v/>
      </c>
    </row>
  </sheetData>
  <mergeCells count="1">
    <mergeCell ref="A6:G6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海地 兵頭</dc:creator>
  <cp:lastModifiedBy>海地 兵頭</cp:lastModifiedBy>
  <dcterms:created xsi:type="dcterms:W3CDTF">2026-09-10T10:43:44Z</dcterms:created>
  <dcterms:modified xsi:type="dcterms:W3CDTF">2026-09-10T10:44:39Z</dcterms:modified>
</cp:coreProperties>
</file>